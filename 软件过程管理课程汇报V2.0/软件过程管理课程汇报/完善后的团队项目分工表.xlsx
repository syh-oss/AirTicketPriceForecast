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C5ACE7E-6BA8-4FE2-9F74-5A86F0B1299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项目分工与进度管理" sheetId="1" r:id="rId1"/>
  </sheets>
  <calcPr calcId="181029"/>
</workbook>
</file>

<file path=xl/calcChain.xml><?xml version="1.0" encoding="utf-8"?>
<calcChain xmlns="http://schemas.openxmlformats.org/spreadsheetml/2006/main">
  <c r="L24" i="1" l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23" i="1"/>
  <c r="L16" i="1"/>
  <c r="L17" i="1"/>
  <c r="L18" i="1"/>
  <c r="L19" i="1"/>
  <c r="L20" i="1"/>
  <c r="L21" i="1"/>
  <c r="L22" i="1"/>
  <c r="L15" i="1"/>
  <c r="L4" i="1"/>
  <c r="L5" i="1"/>
  <c r="L6" i="1"/>
  <c r="L7" i="1"/>
  <c r="L8" i="1"/>
  <c r="L9" i="1"/>
  <c r="L10" i="1"/>
  <c r="L11" i="1"/>
  <c r="L12" i="1"/>
  <c r="L13" i="1"/>
  <c r="L14" i="1"/>
  <c r="L3" i="1"/>
</calcChain>
</file>

<file path=xl/sharedStrings.xml><?xml version="1.0" encoding="utf-8"?>
<sst xmlns="http://schemas.openxmlformats.org/spreadsheetml/2006/main" count="507" uniqueCount="186">
  <si>
    <t>机票价格预测项目 - 团队分工与进度管理表</t>
  </si>
  <si>
    <t>汇报次数</t>
  </si>
  <si>
    <t>组别</t>
  </si>
  <si>
    <t>成员</t>
  </si>
  <si>
    <t>角色</t>
  </si>
  <si>
    <t>核心任务</t>
  </si>
  <si>
    <t>具体工作内容</t>
  </si>
  <si>
    <t>阶段交付物</t>
  </si>
  <si>
    <t>汇报重点</t>
  </si>
  <si>
    <t>协作衔接对象</t>
  </si>
  <si>
    <t>计划开始时间</t>
  </si>
  <si>
    <t>计划完成时间</t>
  </si>
  <si>
    <t>预计工时(天)</t>
  </si>
  <si>
    <t>当前进度(%)</t>
  </si>
  <si>
    <t>任务优先级</t>
  </si>
  <si>
    <t>负责人</t>
  </si>
  <si>
    <t>风险评估</t>
  </si>
  <si>
    <t>质量要求</t>
  </si>
  <si>
    <t>验收标准</t>
  </si>
  <si>
    <t>第一次汇报</t>
  </si>
  <si>
    <t>数据组</t>
  </si>
  <si>
    <t>杜伟</t>
  </si>
  <si>
    <t>项目统筹 + 需求分析师</t>
  </si>
  <si>
    <t>定方向、搭框架、协进度</t>
  </si>
  <si>
    <t>1. 需求规格说明书（含拆解清单）；</t>
  </si>
  <si>
    <t>1. 需求拆解合理性；</t>
  </si>
  <si>
    <t>全体成员（协调进度）、黄思成、牟宏升（数据需求对接）</t>
  </si>
  <si>
    <t>高</t>
  </si>
  <si>
    <t>中（数据采集可能遇到反爬机制）</t>
  </si>
  <si>
    <t>数据完整性≥95%，准确性≥98%</t>
  </si>
  <si>
    <t>需求规格说明书通过评审，各方确认无异议</t>
  </si>
  <si>
    <t>2. 完成技术 / 经济 / 社会可行性论证，确定全技术栈；</t>
  </si>
  <si>
    <t>2. 可行性分析报告；</t>
  </si>
  <si>
    <t>2. 技术路线可行性；</t>
  </si>
  <si>
    <t>可行性分析报告通过评审，技术路线确认</t>
  </si>
  <si>
    <t>3. 制定三组协作进度表，明确对接节点；</t>
  </si>
  <si>
    <t>3. 技术栈选型方案 + 协作进度表。</t>
  </si>
  <si>
    <t>3. 进度表可执行性。</t>
  </si>
  <si>
    <t>协作进度表确认，各对接节点明确</t>
  </si>
  <si>
    <t>4. 梳理机票价格影响因素，为数据 / 模型提供依据。</t>
  </si>
  <si>
    <t>影响因素分析完成，为数据/模型工作提供依据</t>
  </si>
  <si>
    <t>黄思成</t>
  </si>
  <si>
    <t>爬虫开发工程师</t>
  </si>
  <si>
    <t>攻克数据采集，提供高质量原始数据</t>
  </si>
  <si>
    <t>1. 基于 Selenium 开发多平台爬虫脚本（适配携程、去哪儿）；</t>
  </si>
  <si>
    <t>1. 可运行爬虫脚本（含注释）；</t>
  </si>
  <si>
    <t>1. 爬虫稳定性；</t>
  </si>
  <si>
    <t>杜伟（需求对接）、牟宏升（数据交付）</t>
  </si>
  <si>
    <t>爬虫脚本可运行，支持多平台数据采集</t>
  </si>
  <si>
    <t>2. 爬取上海 - 北京航线指定日期机票数据（核心字段全覆盖）；</t>
  </si>
  <si>
    <t>2. 原始数据文件（CSV）；</t>
  </si>
  <si>
    <t>2. 原始数据完整性（字段覆盖率≥95%）；</t>
  </si>
  <si>
    <t>完成指定工作内容，符合项目要求</t>
  </si>
  <si>
    <t>3. 设计异常处理机制（重试、适配），输出日志；</t>
  </si>
  <si>
    <t>3. 爬虫日志 + 异常方案。</t>
  </si>
  <si>
    <t>3. 异常处理有效性。</t>
  </si>
  <si>
    <t>异常处理机制有效，日志记录完整</t>
  </si>
  <si>
    <t>原始数据文件完整，字段覆盖率≥95%</t>
  </si>
  <si>
    <t>牟宏升</t>
  </si>
  <si>
    <t>数据处理 + 数据库工程师</t>
  </si>
  <si>
    <t>数据预处理 + 存储架构搭建，打通 “数据 - 存储” 链路</t>
  </si>
  <si>
    <t>1. 数据清洗（去重、补缺失、剔异常）、编码（类别转数值）、新增特征（航班耗时）；</t>
  </si>
  <si>
    <t>1. 标准化预处理数据（CSV）；</t>
  </si>
  <si>
    <t>1. 数据预处理效果（无效数据≤3%）；</t>
  </si>
  <si>
    <t>杜伟（需求对接）、黄思成（数据接收）、严宽（数据交付）</t>
  </si>
  <si>
    <t>数据预处理完成，无效数据≤3%</t>
  </si>
  <si>
    <t>2. 设计 MySQL 核心表，绘制 E-R 图；</t>
  </si>
  <si>
    <t>2. 表结构文档 + E-R 图；</t>
  </si>
  <si>
    <t>2. 数据库架构适配性；</t>
  </si>
  <si>
    <t>数据库设计合理，E-R图清晰</t>
  </si>
  <si>
    <t>3. 编写存储脚本，实现数据持久化；</t>
  </si>
  <si>
    <t>3. 存储脚本 + 查询测试报告。</t>
  </si>
  <si>
    <t>3. 数据可用性。</t>
  </si>
  <si>
    <t>存储脚本可运行，查询测试通过</t>
  </si>
  <si>
    <t>原始数据成功同步给相关成员</t>
  </si>
  <si>
    <t>第二次汇报</t>
  </si>
  <si>
    <t>模型组</t>
  </si>
  <si>
    <t>严宽</t>
  </si>
  <si>
    <t>特征工程工程师</t>
  </si>
  <si>
    <t>提取有效特征，搭建模型 “输入桥梁”</t>
  </si>
  <si>
    <t>1. 特征工程代码（含筛选逻辑）；</t>
  </si>
  <si>
    <t>1. 特征筛选逻辑；</t>
  </si>
  <si>
    <t>杜伟（数据接收）、牟宏升（数据对接）、林泽翔（模型需求）、沈蕴涵（模型交付）</t>
  </si>
  <si>
    <t>中高</t>
  </si>
  <si>
    <t>高（模型性能可能不达标，需要多次优化）</t>
  </si>
  <si>
    <t>预测准确率≥90%，MSE≤0.05</t>
  </si>
  <si>
    <t>2. 划分特征矩阵（X）与标签向量（y）；</t>
  </si>
  <si>
    <t>2. 训练集 / 测试集（CSV）；</t>
  </si>
  <si>
    <t>2. 数据集划分依据；</t>
  </si>
  <si>
    <t>3. 7:3 拆分训练集 / 测试集（随机种子 42）；</t>
  </si>
  <si>
    <t>3. 特征说明文档（含重要性分析）。</t>
  </si>
  <si>
    <t>3. 特征可用性。</t>
  </si>
  <si>
    <t>数据集划分合理，满足模型训练需求</t>
  </si>
  <si>
    <t>4. 输出特征成果同步给成员 5。</t>
  </si>
  <si>
    <t>林泽翔</t>
  </si>
  <si>
    <t>模型训练 + 优化 + 测试工程师</t>
  </si>
  <si>
    <t>实现核心模型，验证性能达标</t>
  </si>
  <si>
    <t>1. 实现双模型：高斯朴素贝叶斯分类、贝叶斯回归；</t>
  </si>
  <si>
    <t>1. 模型训练 + 优化代码；</t>
  </si>
  <si>
    <t>1. 算法选择理由；</t>
  </si>
  <si>
    <t>严宽（特征接收）、沈蕴涵（模型交付）</t>
  </si>
  <si>
    <t>2. 引入隐马尔可夫模型辅助分类；</t>
  </si>
  <si>
    <t>2. 模型文件（.pkl）；</t>
  </si>
  <si>
    <t>2. 参数调优过程；</t>
  </si>
  <si>
    <t>3. 计算指标（准确率、MSE），参数调优（目标：准确率≥90%，MSE≤0.02）；</t>
  </si>
  <si>
    <t>3. 评估报告（准确率 94.79%、MSE=0.0196）；</t>
  </si>
  <si>
    <t>3. 性能指标达标情况。</t>
  </si>
  <si>
    <t>4. 测试用例 + 验证报告。</t>
  </si>
  <si>
    <t>第三次汇报</t>
  </si>
  <si>
    <t>网页组</t>
  </si>
  <si>
    <t>沈蕴涵</t>
  </si>
  <si>
    <t>Web 架构开发工程师</t>
  </si>
  <si>
    <t>搭建 Web 基础架构，打通 “数据 - 模型 - 界面” 链路</t>
  </si>
  <si>
    <t>1. 基于 Django 搭建 MVT 架构，配置 URL 路由、数据模型、视图；</t>
  </si>
  <si>
    <t>1. Django 基础架构（路由 + 模型代码）；</t>
  </si>
  <si>
    <t>1. 架构合理性；</t>
  </si>
  <si>
    <t>严宽（模型接收）、林泽翔（模型对接）、武浩然、谢治国、张贵新（开发协调）</t>
  </si>
  <si>
    <t>中</t>
  </si>
  <si>
    <t>低（技术成熟，主要是集成调试）</t>
  </si>
  <si>
    <t>功能完整性100%，响应时间≤3秒，界面美观度达标</t>
  </si>
  <si>
    <t>Web架构搭建完成，各模块对接正常</t>
  </si>
  <si>
    <t>2. 数据库对接脚本 + 模型接口；</t>
  </si>
  <si>
    <t>2. 数据与模型对接流畅性；</t>
  </si>
  <si>
    <t>3. 架构设计文档。</t>
  </si>
  <si>
    <t>3. 架构兼容性。</t>
  </si>
  <si>
    <t>武浩然</t>
  </si>
  <si>
    <t>Web 功能 + 界面开发工程师</t>
  </si>
  <si>
    <t>实现基础 Web 功能与前端可视化界面</t>
  </si>
  <si>
    <t>1. 开发用户权限模块（登录 / 退出）；</t>
  </si>
  <si>
    <t>1. 登录 / 分页 / 机票管理功能代码；</t>
  </si>
  <si>
    <t>1. 基础功能完整性；</t>
  </si>
  <si>
    <t>沈蕴涵（架构对接）、谢治国（功能协作）、张贵新（测试对接）</t>
  </si>
  <si>
    <t>基础功能实现完整，界面交互正常</t>
  </si>
  <si>
    <t>2. 实现机票信息管理（列表 + 分页）；</t>
  </si>
  <si>
    <t>2. 前端界面原型（HTML/CSS）；</t>
  </si>
  <si>
    <t>2. 界面易用性；</t>
  </si>
  <si>
    <t>3. 设计核心界面（登录页、首页、列表页）；</t>
  </si>
  <si>
    <t>3. 功能测试截图。</t>
  </si>
  <si>
    <t>3. 操作流畅性。</t>
  </si>
  <si>
    <t>4. 测试界面兼容性（Chrome）。</t>
  </si>
  <si>
    <t>谢治国</t>
  </si>
  <si>
    <t>图表 + 预测功能开发工程师</t>
  </si>
  <si>
    <t>实现数据可视化与核心预测功能</t>
  </si>
  <si>
    <t>1. 开发图表模块（折线图 / 柱状图 / 饼图）；</t>
  </si>
  <si>
    <t>1. 图表绘制代码；</t>
  </si>
  <si>
    <t>1. 图表可视化效果；</t>
  </si>
  <si>
    <t>沈蕴涵（架构对接）、武浩然（界面协作）、张贵新（测试对接）</t>
  </si>
  <si>
    <t>图表绘制效果达标，数据可视化清晰</t>
  </si>
  <si>
    <t>2. 设计预测界面，接收用户输入；</t>
  </si>
  <si>
    <t>2. 预测功能界面代码；</t>
  </si>
  <si>
    <t>2. 预测功能准确性；</t>
  </si>
  <si>
    <t>3. 调用模型接口，实时返回预测结果；</t>
  </si>
  <si>
    <t>3. 功能演示视频（全流程）。</t>
  </si>
  <si>
    <t>3. 响应速度与用户体验。</t>
  </si>
  <si>
    <t>数据与模型接口打通，对接流畅</t>
  </si>
  <si>
    <t>4. 优化响应速度（≤3 秒）。</t>
  </si>
  <si>
    <t>模型训练完成，性能指标达标</t>
  </si>
  <si>
    <t>张贵新</t>
  </si>
  <si>
    <t>测试 + 文档 + 部署工程师</t>
  </si>
  <si>
    <t>1. 执行系统全功能测试，编写测试报告（含 Bug 修复）；</t>
  </si>
  <si>
    <t>1. 全功能测试报告；</t>
  </si>
  <si>
    <t>1. 系统全功能可用性；</t>
  </si>
  <si>
    <t>沈蕴涵（架构对接）、武浩然（功能测试）、谢治国（功能测试）、全体成员（文档收集）</t>
  </si>
  <si>
    <t>测试报告完整，发现问题已修复</t>
  </si>
  <si>
    <t>毕业论文完成，通过审核</t>
  </si>
  <si>
    <t>3. 系统部署手册；</t>
  </si>
  <si>
    <t>3. 部署效果与成果归档完整性。</t>
  </si>
  <si>
    <t>系统部署成功，可正常访问（127.0.0.1:8000）</t>
  </si>
  <si>
    <t>4. 项目成果归档包。</t>
  </si>
  <si>
    <t>4. 整理原始数据同步给牟宏升。</t>
  </si>
  <si>
    <t>中（数据采集可能遇到反爬机制）</t>
    <phoneticPr fontId="4" type="noConversion"/>
  </si>
  <si>
    <t>林泽翔</t>
    <phoneticPr fontId="4" type="noConversion"/>
  </si>
  <si>
    <t>武浩然</t>
    <phoneticPr fontId="4" type="noConversion"/>
  </si>
  <si>
    <t>1. 拆解核心需求（用户侧 + 开发侧），输出需求规格说明书；</t>
    <phoneticPr fontId="4" type="noConversion"/>
  </si>
  <si>
    <t>4. 输出标准化预处理数据同步给模型组。</t>
    <phoneticPr fontId="4" type="noConversion"/>
  </si>
  <si>
    <t>1. 接收数据组数据，筛选核心特征（时间、耗时、航司 / 机场编码）；</t>
    <phoneticPr fontId="4" type="noConversion"/>
  </si>
  <si>
    <t>4. 设计 5 组测试用例，输出模型同步给网页组组。</t>
    <phoneticPr fontId="4" type="noConversion"/>
  </si>
  <si>
    <t>2. 对接数据组 MySQL 数据库，实现数据查询；</t>
    <phoneticPr fontId="4" type="noConversion"/>
  </si>
  <si>
    <t>3. 编写模型调用接口，适配模型组模型；</t>
    <phoneticPr fontId="4" type="noConversion"/>
  </si>
  <si>
    <t>4. 协调武浩然、谢治国成员整合功能。</t>
    <phoneticPr fontId="4" type="noConversion"/>
  </si>
  <si>
    <t>全流程测试 + 文档撰写 + 系统部署 + 成果归档</t>
    <phoneticPr fontId="4" type="noConversion"/>
  </si>
  <si>
    <t>2. 撰写完整汇报文档；</t>
    <phoneticPr fontId="4" type="noConversion"/>
  </si>
  <si>
    <t>3. 部署 Web 应用（127.0.0.1:8000 可访问）；</t>
    <phoneticPr fontId="4" type="noConversion"/>
  </si>
  <si>
    <t>4. 归档所有成果，输出部署手册 + 归档包。</t>
    <phoneticPr fontId="4" type="noConversion"/>
  </si>
  <si>
    <t>2. 完整汇报文档；</t>
    <phoneticPr fontId="4" type="noConversion"/>
  </si>
  <si>
    <t>2. 文档完整性；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</si>
</sst>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E7F0FF"/>
        <bgColor rgb="FFE7F0FF"/>
      </patternFill>
    </fill>
    <fill>
      <patternFill patternType="solid">
        <fgColor rgb="FFE7FFE7"/>
        <bgColor rgb="FFE7FFE7"/>
      </patternFill>
    </fill>
    <fill>
      <patternFill patternType="solid">
        <fgColor rgb="FFFFF7E7"/>
        <bgColor rgb="FFFFF7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3" fillId="4" borderId="1" xfId="0" applyNumberFormat="1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C13" zoomScale="70" zoomScaleNormal="70" workbookViewId="0">
      <selection activeCell="H23" sqref="H23"/>
    </sheetView>
  </sheetViews>
  <sheetFormatPr defaultRowHeight="14" x14ac:dyDescent="0.25"/>
  <cols>
    <col min="1" max="1" width="12" customWidth="1"/>
    <col min="2" max="2" width="8" customWidth="1"/>
    <col min="3" max="3" width="10" customWidth="1"/>
    <col min="4" max="4" width="20" customWidth="1"/>
    <col min="5" max="5" width="25" customWidth="1"/>
    <col min="6" max="6" width="35" customWidth="1"/>
    <col min="7" max="7" width="30" customWidth="1"/>
    <col min="8" max="8" width="25" customWidth="1"/>
    <col min="9" max="9" width="35" customWidth="1"/>
    <col min="10" max="11" width="12" customWidth="1"/>
    <col min="12" max="12" width="10" customWidth="1"/>
    <col min="13" max="13" width="12" customWidth="1"/>
    <col min="14" max="15" width="10" customWidth="1"/>
    <col min="16" max="18" width="25" customWidth="1"/>
  </cols>
  <sheetData>
    <row r="1" spans="1:18" ht="30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3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40" customHeight="1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173</v>
      </c>
      <c r="G3" s="2" t="s">
        <v>24</v>
      </c>
      <c r="H3" s="2" t="s">
        <v>25</v>
      </c>
      <c r="I3" s="2" t="s">
        <v>26</v>
      </c>
      <c r="J3" s="10">
        <v>45971</v>
      </c>
      <c r="K3" s="10">
        <v>45985</v>
      </c>
      <c r="L3" s="2">
        <f>K3-J3</f>
        <v>14</v>
      </c>
      <c r="M3" s="3">
        <v>100</v>
      </c>
      <c r="N3" s="2" t="s">
        <v>27</v>
      </c>
      <c r="O3" s="2" t="s">
        <v>21</v>
      </c>
      <c r="P3" s="2" t="s">
        <v>170</v>
      </c>
      <c r="Q3" s="2" t="s">
        <v>29</v>
      </c>
      <c r="R3" s="2" t="s">
        <v>30</v>
      </c>
    </row>
    <row r="4" spans="1:18" ht="40" customHeigh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31</v>
      </c>
      <c r="G4" s="2" t="s">
        <v>32</v>
      </c>
      <c r="H4" s="2" t="s">
        <v>33</v>
      </c>
      <c r="I4" s="2" t="s">
        <v>26</v>
      </c>
      <c r="J4" s="10">
        <v>45971</v>
      </c>
      <c r="K4" s="10">
        <v>45985</v>
      </c>
      <c r="L4" s="2">
        <f t="shared" ref="L4:L22" si="0">K4-J4</f>
        <v>14</v>
      </c>
      <c r="M4" s="3">
        <v>100</v>
      </c>
      <c r="N4" s="2" t="s">
        <v>27</v>
      </c>
      <c r="O4" s="2" t="s">
        <v>21</v>
      </c>
      <c r="P4" s="2" t="s">
        <v>28</v>
      </c>
      <c r="Q4" s="2" t="s">
        <v>29</v>
      </c>
      <c r="R4" s="2" t="s">
        <v>34</v>
      </c>
    </row>
    <row r="5" spans="1:18" ht="40" customHeight="1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35</v>
      </c>
      <c r="G5" s="2" t="s">
        <v>36</v>
      </c>
      <c r="H5" s="2" t="s">
        <v>37</v>
      </c>
      <c r="I5" s="2" t="s">
        <v>26</v>
      </c>
      <c r="J5" s="10">
        <v>45971</v>
      </c>
      <c r="K5" s="10">
        <v>45985</v>
      </c>
      <c r="L5" s="2">
        <f t="shared" si="0"/>
        <v>14</v>
      </c>
      <c r="M5" s="3">
        <v>100</v>
      </c>
      <c r="N5" s="2" t="s">
        <v>27</v>
      </c>
      <c r="O5" s="2" t="s">
        <v>21</v>
      </c>
      <c r="P5" s="2" t="s">
        <v>28</v>
      </c>
      <c r="Q5" s="2" t="s">
        <v>29</v>
      </c>
      <c r="R5" s="2" t="s">
        <v>38</v>
      </c>
    </row>
    <row r="6" spans="1:18" ht="40" customHeight="1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39</v>
      </c>
      <c r="G6" s="2"/>
      <c r="H6" s="2"/>
      <c r="I6" s="2" t="s">
        <v>26</v>
      </c>
      <c r="J6" s="10">
        <v>45971</v>
      </c>
      <c r="K6" s="10">
        <v>45985</v>
      </c>
      <c r="L6" s="2">
        <f t="shared" si="0"/>
        <v>14</v>
      </c>
      <c r="M6" s="3">
        <v>100</v>
      </c>
      <c r="N6" s="2" t="s">
        <v>27</v>
      </c>
      <c r="O6" s="2" t="s">
        <v>21</v>
      </c>
      <c r="P6" s="2" t="s">
        <v>28</v>
      </c>
      <c r="Q6" s="2" t="s">
        <v>29</v>
      </c>
      <c r="R6" s="2" t="s">
        <v>40</v>
      </c>
    </row>
    <row r="7" spans="1:18" ht="40" customHeight="1" x14ac:dyDescent="0.25">
      <c r="A7" s="2" t="s">
        <v>19</v>
      </c>
      <c r="B7" s="2" t="s">
        <v>20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10">
        <v>45971</v>
      </c>
      <c r="K7" s="10">
        <v>45985</v>
      </c>
      <c r="L7" s="2">
        <f t="shared" si="0"/>
        <v>14</v>
      </c>
      <c r="M7" s="3">
        <v>100</v>
      </c>
      <c r="N7" s="2" t="s">
        <v>27</v>
      </c>
      <c r="O7" s="2" t="s">
        <v>21</v>
      </c>
      <c r="P7" s="2" t="s">
        <v>28</v>
      </c>
      <c r="Q7" s="2" t="s">
        <v>29</v>
      </c>
      <c r="R7" s="2" t="s">
        <v>48</v>
      </c>
    </row>
    <row r="8" spans="1:18" ht="40" customHeight="1" x14ac:dyDescent="0.25">
      <c r="A8" s="2" t="s">
        <v>19</v>
      </c>
      <c r="B8" s="2" t="s">
        <v>20</v>
      </c>
      <c r="C8" s="2" t="s">
        <v>41</v>
      </c>
      <c r="D8" s="2" t="s">
        <v>42</v>
      </c>
      <c r="E8" s="2" t="s">
        <v>43</v>
      </c>
      <c r="F8" s="2" t="s">
        <v>49</v>
      </c>
      <c r="G8" s="2" t="s">
        <v>50</v>
      </c>
      <c r="H8" s="2" t="s">
        <v>51</v>
      </c>
      <c r="I8" s="2" t="s">
        <v>47</v>
      </c>
      <c r="J8" s="10">
        <v>45971</v>
      </c>
      <c r="K8" s="10">
        <v>45985</v>
      </c>
      <c r="L8" s="2">
        <f t="shared" si="0"/>
        <v>14</v>
      </c>
      <c r="M8" s="3">
        <v>100</v>
      </c>
      <c r="N8" s="2" t="s">
        <v>27</v>
      </c>
      <c r="O8" s="2" t="s">
        <v>21</v>
      </c>
      <c r="P8" s="2" t="s">
        <v>28</v>
      </c>
      <c r="Q8" s="2" t="s">
        <v>29</v>
      </c>
      <c r="R8" s="2" t="s">
        <v>52</v>
      </c>
    </row>
    <row r="9" spans="1:18" ht="40" customHeight="1" x14ac:dyDescent="0.25">
      <c r="A9" s="2" t="s">
        <v>19</v>
      </c>
      <c r="B9" s="2" t="s">
        <v>20</v>
      </c>
      <c r="C9" s="2" t="s">
        <v>41</v>
      </c>
      <c r="D9" s="2" t="s">
        <v>42</v>
      </c>
      <c r="E9" s="2" t="s">
        <v>43</v>
      </c>
      <c r="F9" s="2" t="s">
        <v>53</v>
      </c>
      <c r="G9" s="2" t="s">
        <v>54</v>
      </c>
      <c r="H9" s="2" t="s">
        <v>55</v>
      </c>
      <c r="I9" s="2" t="s">
        <v>47</v>
      </c>
      <c r="J9" s="10">
        <v>45971</v>
      </c>
      <c r="K9" s="10">
        <v>45985</v>
      </c>
      <c r="L9" s="2">
        <f t="shared" si="0"/>
        <v>14</v>
      </c>
      <c r="M9" s="3">
        <v>100</v>
      </c>
      <c r="N9" s="2" t="s">
        <v>27</v>
      </c>
      <c r="O9" s="2" t="s">
        <v>21</v>
      </c>
      <c r="P9" s="2" t="s">
        <v>28</v>
      </c>
      <c r="Q9" s="2" t="s">
        <v>29</v>
      </c>
      <c r="R9" s="2" t="s">
        <v>56</v>
      </c>
    </row>
    <row r="10" spans="1:18" ht="40" customHeight="1" x14ac:dyDescent="0.25">
      <c r="A10" s="2" t="s">
        <v>19</v>
      </c>
      <c r="B10" s="2" t="s">
        <v>20</v>
      </c>
      <c r="C10" s="2" t="s">
        <v>41</v>
      </c>
      <c r="D10" s="2" t="s">
        <v>42</v>
      </c>
      <c r="E10" s="2" t="s">
        <v>43</v>
      </c>
      <c r="F10" s="2" t="s">
        <v>169</v>
      </c>
      <c r="G10" s="2"/>
      <c r="H10" s="2"/>
      <c r="I10" s="2" t="s">
        <v>47</v>
      </c>
      <c r="J10" s="10">
        <v>45971</v>
      </c>
      <c r="K10" s="10">
        <v>45985</v>
      </c>
      <c r="L10" s="2">
        <f t="shared" si="0"/>
        <v>14</v>
      </c>
      <c r="M10" s="3">
        <v>100</v>
      </c>
      <c r="N10" s="2" t="s">
        <v>27</v>
      </c>
      <c r="O10" s="2" t="s">
        <v>21</v>
      </c>
      <c r="P10" s="2" t="s">
        <v>28</v>
      </c>
      <c r="Q10" s="2" t="s">
        <v>29</v>
      </c>
      <c r="R10" s="2" t="s">
        <v>57</v>
      </c>
    </row>
    <row r="11" spans="1:18" ht="40" customHeight="1" x14ac:dyDescent="0.25">
      <c r="A11" s="2" t="s">
        <v>19</v>
      </c>
      <c r="B11" s="2" t="s">
        <v>20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63</v>
      </c>
      <c r="I11" s="2" t="s">
        <v>64</v>
      </c>
      <c r="J11" s="10">
        <v>45971</v>
      </c>
      <c r="K11" s="10">
        <v>45985</v>
      </c>
      <c r="L11" s="2">
        <f t="shared" si="0"/>
        <v>14</v>
      </c>
      <c r="M11" s="3">
        <v>100</v>
      </c>
      <c r="N11" s="2" t="s">
        <v>27</v>
      </c>
      <c r="O11" s="2" t="s">
        <v>21</v>
      </c>
      <c r="P11" s="2" t="s">
        <v>28</v>
      </c>
      <c r="Q11" s="2" t="s">
        <v>29</v>
      </c>
      <c r="R11" s="2" t="s">
        <v>65</v>
      </c>
    </row>
    <row r="12" spans="1:18" ht="40" customHeight="1" x14ac:dyDescent="0.25">
      <c r="A12" s="2" t="s">
        <v>19</v>
      </c>
      <c r="B12" s="2" t="s">
        <v>20</v>
      </c>
      <c r="C12" s="2" t="s">
        <v>58</v>
      </c>
      <c r="D12" s="2" t="s">
        <v>59</v>
      </c>
      <c r="E12" s="2" t="s">
        <v>60</v>
      </c>
      <c r="F12" s="2" t="s">
        <v>66</v>
      </c>
      <c r="G12" s="2" t="s">
        <v>67</v>
      </c>
      <c r="H12" s="2" t="s">
        <v>68</v>
      </c>
      <c r="I12" s="2" t="s">
        <v>64</v>
      </c>
      <c r="J12" s="10">
        <v>45971</v>
      </c>
      <c r="K12" s="10">
        <v>45985</v>
      </c>
      <c r="L12" s="2">
        <f t="shared" si="0"/>
        <v>14</v>
      </c>
      <c r="M12" s="3">
        <v>100</v>
      </c>
      <c r="N12" s="2" t="s">
        <v>27</v>
      </c>
      <c r="O12" s="2" t="s">
        <v>21</v>
      </c>
      <c r="P12" s="2" t="s">
        <v>28</v>
      </c>
      <c r="Q12" s="2" t="s">
        <v>29</v>
      </c>
      <c r="R12" s="2" t="s">
        <v>69</v>
      </c>
    </row>
    <row r="13" spans="1:18" ht="40" customHeight="1" x14ac:dyDescent="0.25">
      <c r="A13" s="2" t="s">
        <v>19</v>
      </c>
      <c r="B13" s="2" t="s">
        <v>20</v>
      </c>
      <c r="C13" s="2" t="s">
        <v>58</v>
      </c>
      <c r="D13" s="2" t="s">
        <v>59</v>
      </c>
      <c r="E13" s="2" t="s">
        <v>60</v>
      </c>
      <c r="F13" s="2" t="s">
        <v>70</v>
      </c>
      <c r="G13" s="2" t="s">
        <v>71</v>
      </c>
      <c r="H13" s="2" t="s">
        <v>72</v>
      </c>
      <c r="I13" s="2" t="s">
        <v>64</v>
      </c>
      <c r="J13" s="10">
        <v>45971</v>
      </c>
      <c r="K13" s="10">
        <v>45985</v>
      </c>
      <c r="L13" s="2">
        <f t="shared" si="0"/>
        <v>14</v>
      </c>
      <c r="M13" s="3">
        <v>100</v>
      </c>
      <c r="N13" s="2" t="s">
        <v>27</v>
      </c>
      <c r="O13" s="2" t="s">
        <v>21</v>
      </c>
      <c r="P13" s="2" t="s">
        <v>28</v>
      </c>
      <c r="Q13" s="2" t="s">
        <v>29</v>
      </c>
      <c r="R13" s="2" t="s">
        <v>73</v>
      </c>
    </row>
    <row r="14" spans="1:18" ht="40" customHeight="1" x14ac:dyDescent="0.25">
      <c r="A14" s="2" t="s">
        <v>19</v>
      </c>
      <c r="B14" s="2" t="s">
        <v>20</v>
      </c>
      <c r="C14" s="2" t="s">
        <v>58</v>
      </c>
      <c r="D14" s="2" t="s">
        <v>59</v>
      </c>
      <c r="E14" s="2" t="s">
        <v>60</v>
      </c>
      <c r="F14" s="2" t="s">
        <v>174</v>
      </c>
      <c r="G14" s="2"/>
      <c r="H14" s="2"/>
      <c r="I14" s="2" t="s">
        <v>64</v>
      </c>
      <c r="J14" s="10">
        <v>45971</v>
      </c>
      <c r="K14" s="10">
        <v>45985</v>
      </c>
      <c r="L14" s="2">
        <f t="shared" si="0"/>
        <v>14</v>
      </c>
      <c r="M14" s="3">
        <v>100</v>
      </c>
      <c r="N14" s="2" t="s">
        <v>27</v>
      </c>
      <c r="O14" s="2" t="s">
        <v>21</v>
      </c>
      <c r="P14" s="2" t="s">
        <v>28</v>
      </c>
      <c r="Q14" s="2" t="s">
        <v>29</v>
      </c>
      <c r="R14" s="2" t="s">
        <v>74</v>
      </c>
    </row>
    <row r="15" spans="1:18" ht="40" customHeight="1" x14ac:dyDescent="0.25">
      <c r="A15" s="4" t="s">
        <v>75</v>
      </c>
      <c r="B15" s="4" t="s">
        <v>76</v>
      </c>
      <c r="C15" s="4" t="s">
        <v>77</v>
      </c>
      <c r="D15" s="4" t="s">
        <v>78</v>
      </c>
      <c r="E15" s="4" t="s">
        <v>79</v>
      </c>
      <c r="F15" s="4" t="s">
        <v>175</v>
      </c>
      <c r="G15" s="4" t="s">
        <v>80</v>
      </c>
      <c r="H15" s="4" t="s">
        <v>81</v>
      </c>
      <c r="I15" s="4" t="s">
        <v>82</v>
      </c>
      <c r="J15" s="11">
        <v>45971</v>
      </c>
      <c r="K15" s="11">
        <v>45999</v>
      </c>
      <c r="L15" s="4">
        <f>K15-J15</f>
        <v>28</v>
      </c>
      <c r="M15" s="5">
        <v>50</v>
      </c>
      <c r="N15" s="4" t="s">
        <v>83</v>
      </c>
      <c r="O15" s="4" t="s">
        <v>94</v>
      </c>
      <c r="P15" s="4" t="s">
        <v>84</v>
      </c>
      <c r="Q15" s="4" t="s">
        <v>85</v>
      </c>
      <c r="R15" s="4" t="s">
        <v>52</v>
      </c>
    </row>
    <row r="16" spans="1:18" ht="40" customHeight="1" x14ac:dyDescent="0.25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86</v>
      </c>
      <c r="G16" s="4" t="s">
        <v>87</v>
      </c>
      <c r="H16" s="4" t="s">
        <v>88</v>
      </c>
      <c r="I16" s="4" t="s">
        <v>82</v>
      </c>
      <c r="J16" s="11">
        <v>45971</v>
      </c>
      <c r="K16" s="11">
        <v>45999</v>
      </c>
      <c r="L16" s="4">
        <f t="shared" ref="L16:L38" si="1">K16-J16</f>
        <v>28</v>
      </c>
      <c r="M16" s="5">
        <v>50</v>
      </c>
      <c r="N16" s="4" t="s">
        <v>83</v>
      </c>
      <c r="O16" s="4" t="s">
        <v>94</v>
      </c>
      <c r="P16" s="4" t="s">
        <v>84</v>
      </c>
      <c r="Q16" s="4" t="s">
        <v>85</v>
      </c>
      <c r="R16" s="4" t="s">
        <v>52</v>
      </c>
    </row>
    <row r="17" spans="1:18" ht="40" customHeight="1" x14ac:dyDescent="0.25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89</v>
      </c>
      <c r="G17" s="4" t="s">
        <v>90</v>
      </c>
      <c r="H17" s="4" t="s">
        <v>91</v>
      </c>
      <c r="I17" s="4" t="s">
        <v>82</v>
      </c>
      <c r="J17" s="11">
        <v>45971</v>
      </c>
      <c r="K17" s="11">
        <v>45999</v>
      </c>
      <c r="L17" s="4">
        <f t="shared" si="1"/>
        <v>28</v>
      </c>
      <c r="M17" s="5">
        <v>0</v>
      </c>
      <c r="N17" s="4" t="s">
        <v>83</v>
      </c>
      <c r="O17" s="4" t="s">
        <v>94</v>
      </c>
      <c r="P17" s="4" t="s">
        <v>84</v>
      </c>
      <c r="Q17" s="4" t="s">
        <v>85</v>
      </c>
      <c r="R17" s="4" t="s">
        <v>92</v>
      </c>
    </row>
    <row r="18" spans="1:18" ht="40" customHeight="1" x14ac:dyDescent="0.25">
      <c r="A18" s="4" t="s">
        <v>75</v>
      </c>
      <c r="B18" s="4" t="s">
        <v>76</v>
      </c>
      <c r="C18" s="4" t="s">
        <v>77</v>
      </c>
      <c r="D18" s="4" t="s">
        <v>78</v>
      </c>
      <c r="E18" s="4" t="s">
        <v>79</v>
      </c>
      <c r="F18" s="4" t="s">
        <v>93</v>
      </c>
      <c r="G18" s="4"/>
      <c r="H18" s="4"/>
      <c r="I18" s="4" t="s">
        <v>82</v>
      </c>
      <c r="J18" s="11">
        <v>45971</v>
      </c>
      <c r="K18" s="11">
        <v>45999</v>
      </c>
      <c r="L18" s="4">
        <f t="shared" si="1"/>
        <v>28</v>
      </c>
      <c r="M18" s="5">
        <v>0</v>
      </c>
      <c r="N18" s="4" t="s">
        <v>83</v>
      </c>
      <c r="O18" s="4" t="s">
        <v>94</v>
      </c>
      <c r="P18" s="4" t="s">
        <v>84</v>
      </c>
      <c r="Q18" s="4" t="s">
        <v>85</v>
      </c>
      <c r="R18" s="4" t="s">
        <v>52</v>
      </c>
    </row>
    <row r="19" spans="1:18" ht="40" customHeight="1" x14ac:dyDescent="0.25">
      <c r="A19" s="4" t="s">
        <v>75</v>
      </c>
      <c r="B19" s="4" t="s">
        <v>76</v>
      </c>
      <c r="C19" s="4" t="s">
        <v>94</v>
      </c>
      <c r="D19" s="4" t="s">
        <v>95</v>
      </c>
      <c r="E19" s="4" t="s">
        <v>96</v>
      </c>
      <c r="F19" s="4" t="s">
        <v>97</v>
      </c>
      <c r="G19" s="4" t="s">
        <v>98</v>
      </c>
      <c r="H19" s="4" t="s">
        <v>99</v>
      </c>
      <c r="I19" s="4" t="s">
        <v>100</v>
      </c>
      <c r="J19" s="11">
        <v>45971</v>
      </c>
      <c r="K19" s="11">
        <v>45999</v>
      </c>
      <c r="L19" s="4">
        <f t="shared" si="1"/>
        <v>28</v>
      </c>
      <c r="M19" s="5">
        <v>25</v>
      </c>
      <c r="N19" s="4" t="s">
        <v>83</v>
      </c>
      <c r="O19" s="4" t="s">
        <v>94</v>
      </c>
      <c r="P19" s="4" t="s">
        <v>84</v>
      </c>
      <c r="Q19" s="4" t="s">
        <v>85</v>
      </c>
      <c r="R19" s="4" t="s">
        <v>52</v>
      </c>
    </row>
    <row r="20" spans="1:18" ht="40" customHeight="1" x14ac:dyDescent="0.25">
      <c r="A20" s="4" t="s">
        <v>75</v>
      </c>
      <c r="B20" s="4" t="s">
        <v>76</v>
      </c>
      <c r="C20" s="4" t="s">
        <v>94</v>
      </c>
      <c r="D20" s="4" t="s">
        <v>95</v>
      </c>
      <c r="E20" s="4" t="s">
        <v>96</v>
      </c>
      <c r="F20" s="4" t="s">
        <v>101</v>
      </c>
      <c r="G20" s="4" t="s">
        <v>102</v>
      </c>
      <c r="H20" s="4" t="s">
        <v>103</v>
      </c>
      <c r="I20" s="4" t="s">
        <v>100</v>
      </c>
      <c r="J20" s="11">
        <v>45971</v>
      </c>
      <c r="K20" s="11">
        <v>45999</v>
      </c>
      <c r="L20" s="4">
        <f t="shared" si="1"/>
        <v>28</v>
      </c>
      <c r="M20" s="5">
        <v>0</v>
      </c>
      <c r="N20" s="4" t="s">
        <v>83</v>
      </c>
      <c r="O20" s="4" t="s">
        <v>94</v>
      </c>
      <c r="P20" s="4" t="s">
        <v>84</v>
      </c>
      <c r="Q20" s="4" t="s">
        <v>85</v>
      </c>
      <c r="R20" s="4" t="s">
        <v>52</v>
      </c>
    </row>
    <row r="21" spans="1:18" ht="40" customHeight="1" x14ac:dyDescent="0.25">
      <c r="A21" s="4" t="s">
        <v>75</v>
      </c>
      <c r="B21" s="4" t="s">
        <v>76</v>
      </c>
      <c r="C21" s="4" t="s">
        <v>171</v>
      </c>
      <c r="D21" s="4" t="s">
        <v>95</v>
      </c>
      <c r="E21" s="4" t="s">
        <v>96</v>
      </c>
      <c r="F21" s="4" t="s">
        <v>104</v>
      </c>
      <c r="G21" s="4" t="s">
        <v>105</v>
      </c>
      <c r="H21" s="4" t="s">
        <v>106</v>
      </c>
      <c r="I21" s="4" t="s">
        <v>100</v>
      </c>
      <c r="J21" s="11">
        <v>45971</v>
      </c>
      <c r="K21" s="11">
        <v>45999</v>
      </c>
      <c r="L21" s="4">
        <f t="shared" si="1"/>
        <v>28</v>
      </c>
      <c r="M21" s="5">
        <v>0</v>
      </c>
      <c r="N21" s="4" t="s">
        <v>83</v>
      </c>
      <c r="O21" s="4" t="s">
        <v>94</v>
      </c>
      <c r="P21" s="4" t="s">
        <v>84</v>
      </c>
      <c r="Q21" s="4" t="s">
        <v>85</v>
      </c>
      <c r="R21" s="4" t="s">
        <v>52</v>
      </c>
    </row>
    <row r="22" spans="1:18" ht="40" customHeight="1" x14ac:dyDescent="0.25">
      <c r="A22" s="4" t="s">
        <v>75</v>
      </c>
      <c r="B22" s="4" t="s">
        <v>76</v>
      </c>
      <c r="C22" s="4" t="s">
        <v>94</v>
      </c>
      <c r="D22" s="4" t="s">
        <v>95</v>
      </c>
      <c r="E22" s="4" t="s">
        <v>96</v>
      </c>
      <c r="F22" s="4" t="s">
        <v>176</v>
      </c>
      <c r="G22" s="4" t="s">
        <v>107</v>
      </c>
      <c r="H22" s="4"/>
      <c r="I22" s="4" t="s">
        <v>100</v>
      </c>
      <c r="J22" s="11">
        <v>45971</v>
      </c>
      <c r="K22" s="11">
        <v>45999</v>
      </c>
      <c r="L22" s="4">
        <f t="shared" si="1"/>
        <v>28</v>
      </c>
      <c r="M22" s="5">
        <v>0</v>
      </c>
      <c r="N22" s="4" t="s">
        <v>83</v>
      </c>
      <c r="O22" s="4" t="s">
        <v>94</v>
      </c>
      <c r="P22" s="4" t="s">
        <v>84</v>
      </c>
      <c r="Q22" s="4" t="s">
        <v>85</v>
      </c>
      <c r="R22" s="4" t="s">
        <v>52</v>
      </c>
    </row>
    <row r="23" spans="1:18" ht="40" customHeight="1" x14ac:dyDescent="0.25">
      <c r="A23" s="6" t="s">
        <v>108</v>
      </c>
      <c r="B23" s="6" t="s">
        <v>109</v>
      </c>
      <c r="C23" s="6" t="s">
        <v>110</v>
      </c>
      <c r="D23" s="6" t="s">
        <v>111</v>
      </c>
      <c r="E23" s="6" t="s">
        <v>112</v>
      </c>
      <c r="F23" s="6" t="s">
        <v>113</v>
      </c>
      <c r="G23" s="6" t="s">
        <v>114</v>
      </c>
      <c r="H23" s="6" t="s">
        <v>115</v>
      </c>
      <c r="I23" s="6" t="s">
        <v>116</v>
      </c>
      <c r="J23" s="12">
        <v>45971</v>
      </c>
      <c r="K23" s="12">
        <v>46013</v>
      </c>
      <c r="L23" s="6">
        <f t="shared" si="1"/>
        <v>42</v>
      </c>
      <c r="M23" s="7">
        <v>25</v>
      </c>
      <c r="N23" s="6" t="s">
        <v>117</v>
      </c>
      <c r="O23" s="6" t="s">
        <v>125</v>
      </c>
      <c r="P23" s="6" t="s">
        <v>118</v>
      </c>
      <c r="Q23" s="6" t="s">
        <v>119</v>
      </c>
      <c r="R23" s="6" t="s">
        <v>120</v>
      </c>
    </row>
    <row r="24" spans="1:18" ht="40" customHeight="1" x14ac:dyDescent="0.25">
      <c r="A24" s="6" t="s">
        <v>108</v>
      </c>
      <c r="B24" s="6" t="s">
        <v>109</v>
      </c>
      <c r="C24" s="6" t="s">
        <v>110</v>
      </c>
      <c r="D24" s="6" t="s">
        <v>111</v>
      </c>
      <c r="E24" s="6" t="s">
        <v>112</v>
      </c>
      <c r="F24" s="6" t="s">
        <v>177</v>
      </c>
      <c r="G24" s="6" t="s">
        <v>121</v>
      </c>
      <c r="H24" s="6" t="s">
        <v>122</v>
      </c>
      <c r="I24" s="6" t="s">
        <v>116</v>
      </c>
      <c r="J24" s="12">
        <v>45971</v>
      </c>
      <c r="K24" s="12">
        <v>46013</v>
      </c>
      <c r="L24" s="6">
        <f t="shared" si="1"/>
        <v>42</v>
      </c>
      <c r="M24" s="7">
        <v>50</v>
      </c>
      <c r="N24" s="6" t="s">
        <v>117</v>
      </c>
      <c r="O24" s="6" t="s">
        <v>125</v>
      </c>
      <c r="P24" s="6" t="s">
        <v>118</v>
      </c>
      <c r="Q24" s="6" t="s">
        <v>119</v>
      </c>
      <c r="R24" s="6" t="s">
        <v>69</v>
      </c>
    </row>
    <row r="25" spans="1:18" ht="40" customHeight="1" x14ac:dyDescent="0.25">
      <c r="A25" s="6" t="s">
        <v>108</v>
      </c>
      <c r="B25" s="6" t="s">
        <v>109</v>
      </c>
      <c r="C25" s="6" t="s">
        <v>110</v>
      </c>
      <c r="D25" s="6" t="s">
        <v>111</v>
      </c>
      <c r="E25" s="6" t="s">
        <v>112</v>
      </c>
      <c r="F25" s="6" t="s">
        <v>178</v>
      </c>
      <c r="G25" s="6" t="s">
        <v>123</v>
      </c>
      <c r="H25" s="6" t="s">
        <v>124</v>
      </c>
      <c r="I25" s="6" t="s">
        <v>116</v>
      </c>
      <c r="J25" s="12">
        <v>45971</v>
      </c>
      <c r="K25" s="12">
        <v>46013</v>
      </c>
      <c r="L25" s="6">
        <f t="shared" si="1"/>
        <v>42</v>
      </c>
      <c r="M25" s="7">
        <v>25</v>
      </c>
      <c r="N25" s="6" t="s">
        <v>117</v>
      </c>
      <c r="O25" s="6" t="s">
        <v>125</v>
      </c>
      <c r="P25" s="6" t="s">
        <v>118</v>
      </c>
      <c r="Q25" s="6" t="s">
        <v>119</v>
      </c>
      <c r="R25" s="6" t="s">
        <v>52</v>
      </c>
    </row>
    <row r="26" spans="1:18" ht="40" customHeight="1" x14ac:dyDescent="0.25">
      <c r="A26" s="6" t="s">
        <v>108</v>
      </c>
      <c r="B26" s="6" t="s">
        <v>109</v>
      </c>
      <c r="C26" s="6" t="s">
        <v>110</v>
      </c>
      <c r="D26" s="6" t="s">
        <v>111</v>
      </c>
      <c r="E26" s="6" t="s">
        <v>112</v>
      </c>
      <c r="F26" s="6" t="s">
        <v>179</v>
      </c>
      <c r="G26" s="6"/>
      <c r="H26" s="6"/>
      <c r="I26" s="6" t="s">
        <v>116</v>
      </c>
      <c r="J26" s="12">
        <v>45971</v>
      </c>
      <c r="K26" s="12">
        <v>46013</v>
      </c>
      <c r="L26" s="6">
        <f t="shared" si="1"/>
        <v>42</v>
      </c>
      <c r="M26" s="7">
        <v>75</v>
      </c>
      <c r="N26" s="6" t="s">
        <v>117</v>
      </c>
      <c r="O26" s="6" t="s">
        <v>125</v>
      </c>
      <c r="P26" s="6" t="s">
        <v>118</v>
      </c>
      <c r="Q26" s="6" t="s">
        <v>119</v>
      </c>
      <c r="R26" s="6" t="s">
        <v>52</v>
      </c>
    </row>
    <row r="27" spans="1:18" ht="40" customHeight="1" x14ac:dyDescent="0.25">
      <c r="A27" s="6" t="s">
        <v>108</v>
      </c>
      <c r="B27" s="6" t="s">
        <v>109</v>
      </c>
      <c r="C27" s="6" t="s">
        <v>172</v>
      </c>
      <c r="D27" s="6" t="s">
        <v>126</v>
      </c>
      <c r="E27" s="6" t="s">
        <v>127</v>
      </c>
      <c r="F27" s="6" t="s">
        <v>128</v>
      </c>
      <c r="G27" s="6" t="s">
        <v>129</v>
      </c>
      <c r="H27" s="6" t="s">
        <v>130</v>
      </c>
      <c r="I27" s="6" t="s">
        <v>131</v>
      </c>
      <c r="J27" s="12">
        <v>45971</v>
      </c>
      <c r="K27" s="12">
        <v>46013</v>
      </c>
      <c r="L27" s="6">
        <f t="shared" si="1"/>
        <v>42</v>
      </c>
      <c r="M27" s="7">
        <v>25</v>
      </c>
      <c r="N27" s="6" t="s">
        <v>117</v>
      </c>
      <c r="O27" s="6" t="s">
        <v>125</v>
      </c>
      <c r="P27" s="6" t="s">
        <v>118</v>
      </c>
      <c r="Q27" s="6" t="s">
        <v>119</v>
      </c>
      <c r="R27" s="6" t="s">
        <v>132</v>
      </c>
    </row>
    <row r="28" spans="1:18" ht="40" customHeight="1" x14ac:dyDescent="0.25">
      <c r="A28" s="6" t="s">
        <v>108</v>
      </c>
      <c r="B28" s="6" t="s">
        <v>109</v>
      </c>
      <c r="C28" s="6" t="s">
        <v>125</v>
      </c>
      <c r="D28" s="6" t="s">
        <v>126</v>
      </c>
      <c r="E28" s="6" t="s">
        <v>127</v>
      </c>
      <c r="F28" s="6" t="s">
        <v>133</v>
      </c>
      <c r="G28" s="6" t="s">
        <v>134</v>
      </c>
      <c r="H28" s="6" t="s">
        <v>135</v>
      </c>
      <c r="I28" s="6" t="s">
        <v>131</v>
      </c>
      <c r="J28" s="12">
        <v>45971</v>
      </c>
      <c r="K28" s="12">
        <v>46013</v>
      </c>
      <c r="L28" s="6">
        <f t="shared" si="1"/>
        <v>42</v>
      </c>
      <c r="M28" s="7">
        <v>25</v>
      </c>
      <c r="N28" s="6" t="s">
        <v>117</v>
      </c>
      <c r="O28" s="6" t="s">
        <v>125</v>
      </c>
      <c r="P28" s="6" t="s">
        <v>118</v>
      </c>
      <c r="Q28" s="6" t="s">
        <v>119</v>
      </c>
      <c r="R28" s="6" t="s">
        <v>132</v>
      </c>
    </row>
    <row r="29" spans="1:18" ht="40" customHeight="1" x14ac:dyDescent="0.25">
      <c r="A29" s="6" t="s">
        <v>108</v>
      </c>
      <c r="B29" s="6" t="s">
        <v>109</v>
      </c>
      <c r="C29" s="6" t="s">
        <v>125</v>
      </c>
      <c r="D29" s="6" t="s">
        <v>126</v>
      </c>
      <c r="E29" s="6" t="s">
        <v>127</v>
      </c>
      <c r="F29" s="6" t="s">
        <v>136</v>
      </c>
      <c r="G29" s="6" t="s">
        <v>137</v>
      </c>
      <c r="H29" s="6" t="s">
        <v>138</v>
      </c>
      <c r="I29" s="6" t="s">
        <v>131</v>
      </c>
      <c r="J29" s="12">
        <v>45971</v>
      </c>
      <c r="K29" s="12">
        <v>46013</v>
      </c>
      <c r="L29" s="6">
        <f t="shared" si="1"/>
        <v>42</v>
      </c>
      <c r="M29" s="7">
        <v>25</v>
      </c>
      <c r="N29" s="6" t="s">
        <v>117</v>
      </c>
      <c r="O29" s="6" t="s">
        <v>125</v>
      </c>
      <c r="P29" s="6" t="s">
        <v>118</v>
      </c>
      <c r="Q29" s="6" t="s">
        <v>119</v>
      </c>
      <c r="R29" s="6" t="s">
        <v>132</v>
      </c>
    </row>
    <row r="30" spans="1:18" ht="40" customHeight="1" x14ac:dyDescent="0.25">
      <c r="A30" s="6" t="s">
        <v>108</v>
      </c>
      <c r="B30" s="6" t="s">
        <v>109</v>
      </c>
      <c r="C30" s="6" t="s">
        <v>125</v>
      </c>
      <c r="D30" s="6" t="s">
        <v>126</v>
      </c>
      <c r="E30" s="6" t="s">
        <v>127</v>
      </c>
      <c r="F30" s="6" t="s">
        <v>139</v>
      </c>
      <c r="G30" s="6"/>
      <c r="H30" s="6"/>
      <c r="I30" s="6" t="s">
        <v>131</v>
      </c>
      <c r="J30" s="12">
        <v>45971</v>
      </c>
      <c r="K30" s="12">
        <v>46013</v>
      </c>
      <c r="L30" s="6">
        <f t="shared" si="1"/>
        <v>42</v>
      </c>
      <c r="M30" s="7">
        <v>0</v>
      </c>
      <c r="N30" s="6" t="s">
        <v>117</v>
      </c>
      <c r="O30" s="6" t="s">
        <v>125</v>
      </c>
      <c r="P30" s="6" t="s">
        <v>118</v>
      </c>
      <c r="Q30" s="6" t="s">
        <v>119</v>
      </c>
      <c r="R30" s="6" t="s">
        <v>132</v>
      </c>
    </row>
    <row r="31" spans="1:18" ht="40" customHeight="1" x14ac:dyDescent="0.25">
      <c r="A31" s="6" t="s">
        <v>108</v>
      </c>
      <c r="B31" s="6" t="s">
        <v>109</v>
      </c>
      <c r="C31" s="6" t="s">
        <v>140</v>
      </c>
      <c r="D31" s="6" t="s">
        <v>141</v>
      </c>
      <c r="E31" s="6" t="s">
        <v>142</v>
      </c>
      <c r="F31" s="6" t="s">
        <v>143</v>
      </c>
      <c r="G31" s="6" t="s">
        <v>144</v>
      </c>
      <c r="H31" s="6" t="s">
        <v>145</v>
      </c>
      <c r="I31" s="6" t="s">
        <v>146</v>
      </c>
      <c r="J31" s="12">
        <v>45971</v>
      </c>
      <c r="K31" s="12">
        <v>46013</v>
      </c>
      <c r="L31" s="6">
        <f t="shared" si="1"/>
        <v>42</v>
      </c>
      <c r="M31" s="7">
        <v>25</v>
      </c>
      <c r="N31" s="6" t="s">
        <v>117</v>
      </c>
      <c r="O31" s="6" t="s">
        <v>125</v>
      </c>
      <c r="P31" s="6" t="s">
        <v>118</v>
      </c>
      <c r="Q31" s="6" t="s">
        <v>119</v>
      </c>
      <c r="R31" s="6" t="s">
        <v>147</v>
      </c>
    </row>
    <row r="32" spans="1:18" ht="40" customHeight="1" x14ac:dyDescent="0.25">
      <c r="A32" s="6" t="s">
        <v>108</v>
      </c>
      <c r="B32" s="6" t="s">
        <v>109</v>
      </c>
      <c r="C32" s="6" t="s">
        <v>140</v>
      </c>
      <c r="D32" s="6" t="s">
        <v>141</v>
      </c>
      <c r="E32" s="6" t="s">
        <v>142</v>
      </c>
      <c r="F32" s="6" t="s">
        <v>148</v>
      </c>
      <c r="G32" s="6" t="s">
        <v>149</v>
      </c>
      <c r="H32" s="6" t="s">
        <v>150</v>
      </c>
      <c r="I32" s="6" t="s">
        <v>146</v>
      </c>
      <c r="J32" s="12">
        <v>45971</v>
      </c>
      <c r="K32" s="12">
        <v>46013</v>
      </c>
      <c r="L32" s="6">
        <f t="shared" si="1"/>
        <v>42</v>
      </c>
      <c r="M32" s="7">
        <v>25</v>
      </c>
      <c r="N32" s="6" t="s">
        <v>117</v>
      </c>
      <c r="O32" s="6" t="s">
        <v>125</v>
      </c>
      <c r="P32" s="6" t="s">
        <v>118</v>
      </c>
      <c r="Q32" s="6" t="s">
        <v>119</v>
      </c>
      <c r="R32" s="6" t="s">
        <v>132</v>
      </c>
    </row>
    <row r="33" spans="1:18" ht="40" customHeight="1" x14ac:dyDescent="0.25">
      <c r="A33" s="6" t="s">
        <v>108</v>
      </c>
      <c r="B33" s="6" t="s">
        <v>109</v>
      </c>
      <c r="C33" s="6" t="s">
        <v>140</v>
      </c>
      <c r="D33" s="6" t="s">
        <v>141</v>
      </c>
      <c r="E33" s="6" t="s">
        <v>142</v>
      </c>
      <c r="F33" s="6" t="s">
        <v>151</v>
      </c>
      <c r="G33" s="6" t="s">
        <v>152</v>
      </c>
      <c r="H33" s="6" t="s">
        <v>153</v>
      </c>
      <c r="I33" s="6" t="s">
        <v>146</v>
      </c>
      <c r="J33" s="12">
        <v>45971</v>
      </c>
      <c r="K33" s="12">
        <v>46013</v>
      </c>
      <c r="L33" s="6">
        <f t="shared" si="1"/>
        <v>42</v>
      </c>
      <c r="M33" s="7">
        <v>0</v>
      </c>
      <c r="N33" s="6" t="s">
        <v>117</v>
      </c>
      <c r="O33" s="6" t="s">
        <v>125</v>
      </c>
      <c r="P33" s="6" t="s">
        <v>118</v>
      </c>
      <c r="Q33" s="6" t="s">
        <v>119</v>
      </c>
      <c r="R33" s="6" t="s">
        <v>154</v>
      </c>
    </row>
    <row r="34" spans="1:18" ht="40" customHeight="1" x14ac:dyDescent="0.25">
      <c r="A34" s="6" t="s">
        <v>108</v>
      </c>
      <c r="B34" s="6" t="s">
        <v>109</v>
      </c>
      <c r="C34" s="6" t="s">
        <v>140</v>
      </c>
      <c r="D34" s="6" t="s">
        <v>141</v>
      </c>
      <c r="E34" s="6" t="s">
        <v>142</v>
      </c>
      <c r="F34" s="6" t="s">
        <v>155</v>
      </c>
      <c r="G34" s="6"/>
      <c r="H34" s="6"/>
      <c r="I34" s="6" t="s">
        <v>146</v>
      </c>
      <c r="J34" s="12">
        <v>45971</v>
      </c>
      <c r="K34" s="12">
        <v>46013</v>
      </c>
      <c r="L34" s="6">
        <f t="shared" si="1"/>
        <v>42</v>
      </c>
      <c r="M34" s="7">
        <v>0</v>
      </c>
      <c r="N34" s="6" t="s">
        <v>117</v>
      </c>
      <c r="O34" s="6" t="s">
        <v>125</v>
      </c>
      <c r="P34" s="6" t="s">
        <v>118</v>
      </c>
      <c r="Q34" s="6" t="s">
        <v>119</v>
      </c>
      <c r="R34" s="6" t="s">
        <v>156</v>
      </c>
    </row>
    <row r="35" spans="1:18" ht="40" customHeight="1" x14ac:dyDescent="0.25">
      <c r="A35" s="6" t="s">
        <v>108</v>
      </c>
      <c r="B35" s="6" t="s">
        <v>109</v>
      </c>
      <c r="C35" s="6" t="s">
        <v>157</v>
      </c>
      <c r="D35" s="6" t="s">
        <v>158</v>
      </c>
      <c r="E35" s="6" t="s">
        <v>180</v>
      </c>
      <c r="F35" s="6" t="s">
        <v>159</v>
      </c>
      <c r="G35" s="6" t="s">
        <v>160</v>
      </c>
      <c r="H35" s="6" t="s">
        <v>161</v>
      </c>
      <c r="I35" s="6" t="s">
        <v>162</v>
      </c>
      <c r="J35" s="12">
        <v>45971</v>
      </c>
      <c r="K35" s="12">
        <v>46013</v>
      </c>
      <c r="L35" s="6">
        <f t="shared" si="1"/>
        <v>42</v>
      </c>
      <c r="M35" s="7">
        <v>0</v>
      </c>
      <c r="N35" s="6" t="s">
        <v>117</v>
      </c>
      <c r="O35" s="6" t="s">
        <v>125</v>
      </c>
      <c r="P35" s="6" t="s">
        <v>118</v>
      </c>
      <c r="Q35" s="6" t="s">
        <v>119</v>
      </c>
      <c r="R35" s="6" t="s">
        <v>163</v>
      </c>
    </row>
    <row r="36" spans="1:18" ht="40" customHeight="1" x14ac:dyDescent="0.25">
      <c r="A36" s="6" t="s">
        <v>108</v>
      </c>
      <c r="B36" s="6" t="s">
        <v>109</v>
      </c>
      <c r="C36" s="6" t="s">
        <v>157</v>
      </c>
      <c r="D36" s="6" t="s">
        <v>158</v>
      </c>
      <c r="E36" s="6" t="s">
        <v>180</v>
      </c>
      <c r="F36" s="6" t="s">
        <v>181</v>
      </c>
      <c r="G36" s="6" t="s">
        <v>184</v>
      </c>
      <c r="H36" s="6" t="s">
        <v>185</v>
      </c>
      <c r="I36" s="6" t="s">
        <v>162</v>
      </c>
      <c r="J36" s="12">
        <v>45971</v>
      </c>
      <c r="K36" s="12">
        <v>46013</v>
      </c>
      <c r="L36" s="6">
        <f t="shared" si="1"/>
        <v>42</v>
      </c>
      <c r="M36" s="7">
        <v>25</v>
      </c>
      <c r="N36" s="6" t="s">
        <v>117</v>
      </c>
      <c r="O36" s="6" t="s">
        <v>125</v>
      </c>
      <c r="P36" s="6" t="s">
        <v>118</v>
      </c>
      <c r="Q36" s="6" t="s">
        <v>119</v>
      </c>
      <c r="R36" s="6" t="s">
        <v>164</v>
      </c>
    </row>
    <row r="37" spans="1:18" ht="40" customHeight="1" x14ac:dyDescent="0.25">
      <c r="A37" s="6" t="s">
        <v>108</v>
      </c>
      <c r="B37" s="6" t="s">
        <v>109</v>
      </c>
      <c r="C37" s="6" t="s">
        <v>157</v>
      </c>
      <c r="D37" s="6" t="s">
        <v>158</v>
      </c>
      <c r="E37" s="6" t="s">
        <v>180</v>
      </c>
      <c r="F37" s="6" t="s">
        <v>182</v>
      </c>
      <c r="G37" s="6" t="s">
        <v>165</v>
      </c>
      <c r="H37" s="6" t="s">
        <v>166</v>
      </c>
      <c r="I37" s="6" t="s">
        <v>162</v>
      </c>
      <c r="J37" s="12">
        <v>45971</v>
      </c>
      <c r="K37" s="12">
        <v>46013</v>
      </c>
      <c r="L37" s="6">
        <f t="shared" si="1"/>
        <v>42</v>
      </c>
      <c r="M37" s="7">
        <v>0</v>
      </c>
      <c r="N37" s="6" t="s">
        <v>117</v>
      </c>
      <c r="O37" s="6" t="s">
        <v>125</v>
      </c>
      <c r="P37" s="6" t="s">
        <v>118</v>
      </c>
      <c r="Q37" s="6" t="s">
        <v>119</v>
      </c>
      <c r="R37" s="6" t="s">
        <v>167</v>
      </c>
    </row>
    <row r="38" spans="1:18" ht="40" customHeight="1" x14ac:dyDescent="0.25">
      <c r="A38" s="6" t="s">
        <v>108</v>
      </c>
      <c r="B38" s="6" t="s">
        <v>109</v>
      </c>
      <c r="C38" s="6" t="s">
        <v>157</v>
      </c>
      <c r="D38" s="6" t="s">
        <v>158</v>
      </c>
      <c r="E38" s="6" t="s">
        <v>180</v>
      </c>
      <c r="F38" s="6" t="s">
        <v>183</v>
      </c>
      <c r="G38" s="6" t="s">
        <v>168</v>
      </c>
      <c r="H38" s="6"/>
      <c r="I38" s="6" t="s">
        <v>162</v>
      </c>
      <c r="J38" s="12">
        <v>45971</v>
      </c>
      <c r="K38" s="12">
        <v>46013</v>
      </c>
      <c r="L38" s="6">
        <f t="shared" si="1"/>
        <v>42</v>
      </c>
      <c r="M38" s="7">
        <v>25</v>
      </c>
      <c r="N38" s="6" t="s">
        <v>117</v>
      </c>
      <c r="O38" s="6" t="s">
        <v>125</v>
      </c>
      <c r="P38" s="6" t="s">
        <v>118</v>
      </c>
      <c r="Q38" s="6" t="s">
        <v>119</v>
      </c>
      <c r="R38" s="6" t="s">
        <v>167</v>
      </c>
    </row>
  </sheetData>
  <mergeCells count="1">
    <mergeCell ref="A1:R1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项目分工与进度管理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Bruce Logan</cp:lastModifiedBy>
  <dcterms:created xsi:type="dcterms:W3CDTF">2025-11-11T01:37:17Z</dcterms:created>
  <dcterms:modified xsi:type="dcterms:W3CDTF">2025-11-11T06:50:42Z</dcterms:modified>
</cp:coreProperties>
</file>